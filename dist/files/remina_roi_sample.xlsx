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11_38DFA0D6DAB69FA65B9544D91F3F068DF6D366F4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xecutive Summary" sheetId="1" r:id="rId1"/>
    <sheet name="Detailed Model" sheetId="2" r:id="rId2"/>
    <sheet name="KPI Dashboard" sheetId="3" r:id="rId3"/>
  </sheet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2" l="1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</calcChain>
</file>

<file path=xl/sharedStrings.xml><?xml version="1.0" encoding="utf-8"?>
<sst xmlns="http://schemas.openxmlformats.org/spreadsheetml/2006/main" count="110" uniqueCount="104">
  <si>
    <t>REMINA — ROI Analysis Report</t>
  </si>
  <si>
    <t>Prepared for: Silverpine Memory Care  |  Contact: test@example.com</t>
  </si>
  <si>
    <t>Love. Care. Memory.  —  $100 per resident per month</t>
  </si>
  <si>
    <t>7.2x</t>
  </si>
  <si>
    <t>$374,180</t>
  </si>
  <si>
    <t>Annual ROI multiple</t>
  </si>
  <si>
    <t>Net annual benefit</t>
  </si>
  <si>
    <t>Your Community Inputs</t>
  </si>
  <si>
    <t>Memory care residents</t>
  </si>
  <si>
    <t>50</t>
  </si>
  <si>
    <t>count</t>
  </si>
  <si>
    <t>Monthly fee per resident</t>
  </si>
  <si>
    <t>$7,000</t>
  </si>
  <si>
    <t>USD/month</t>
  </si>
  <si>
    <t>Current occupancy rate</t>
  </si>
  <si>
    <t>88%</t>
  </si>
  <si>
    <t>Average length of stay</t>
  </si>
  <si>
    <t>24 months</t>
  </si>
  <si>
    <t>Current antipsychotic rate</t>
  </si>
  <si>
    <t>16%</t>
  </si>
  <si>
    <t>Caregiver monthly turnover</t>
  </si>
  <si>
    <t>8%</t>
  </si>
  <si>
    <t>ROI Results — Annual Impact</t>
  </si>
  <si>
    <t>Length of stay revenue gain</t>
  </si>
  <si>
    <t>$262,500</t>
  </si>
  <si>
    <t>+25.0 admissions/yr × 1.5 extra months × $7,000</t>
  </si>
  <si>
    <t>Occupancy improvement revenue</t>
  </si>
  <si>
    <t>$126,000</t>
  </si>
  <si>
    <t>+3 pts uplift on 50 capacity</t>
  </si>
  <si>
    <t>Caregiver turnover cost saved</t>
  </si>
  <si>
    <t>$10,080</t>
  </si>
  <si>
    <t>19.2 exits/yr, 15% reduction × $3,500 replacement</t>
  </si>
  <si>
    <t>PRN medication cost reduction</t>
  </si>
  <si>
    <t>$30,600</t>
  </si>
  <si>
    <t>50 residents × 2.5 events/mo × $85 × 24% reduction</t>
  </si>
  <si>
    <t>Inspection deficiency avoided</t>
  </si>
  <si>
    <t>$5,000</t>
  </si>
  <si>
    <t>Conservative — 1 deficiency avoided per year</t>
  </si>
  <si>
    <t>TOTAL BENEFIT</t>
  </si>
  <si>
    <t>$434,180</t>
  </si>
  <si>
    <t>Remina annual cost</t>
  </si>
  <si>
    <t>($60,000)</t>
  </si>
  <si>
    <t>50 residents × $100/mo × 12 months</t>
  </si>
  <si>
    <t>NET ANNUAL BENEFIT</t>
  </si>
  <si>
    <t>PAYBACK PERIOD:  50 days   |   Just 8.6 resident-months cover the full annual cost   |   ROI: 7.2x</t>
  </si>
  <si>
    <t>If just 10 residents stay one extra month, Remina pays for itself completely for the year.</t>
  </si>
  <si>
    <t>Remina — Love. Care. Memory.  |  hello@remina.ai  |  remina.ai  |  Argentum Nashville May 18–20 2026</t>
  </si>
  <si>
    <t>Remina ROI — Detailed Financial Model</t>
  </si>
  <si>
    <t>INPUTS — editable (blue cells)</t>
  </si>
  <si>
    <t>Number of memory care residents</t>
  </si>
  <si>
    <t>Monthly fee per resident ($)</t>
  </si>
  <si>
    <t>Current occupancy rate (%)</t>
  </si>
  <si>
    <t>Average length of stay (months)</t>
  </si>
  <si>
    <t>Current antipsychotic rate (%)</t>
  </si>
  <si>
    <t>Monthly caregiver turnover (%)</t>
  </si>
  <si>
    <t>CALCULATED OUTPUTS</t>
  </si>
  <si>
    <t>Remina monthly cost ($)</t>
  </si>
  <si>
    <t>Remina annual cost ($)</t>
  </si>
  <si>
    <t>Annual admissions</t>
  </si>
  <si>
    <t>LOS revenue gain ($)</t>
  </si>
  <si>
    <t>Occupancy uplift (pts)</t>
  </si>
  <si>
    <t>Occupancy revenue gain ($)</t>
  </si>
  <si>
    <t>Caregiver count</t>
  </si>
  <si>
    <t>Annual caregiver exits</t>
  </si>
  <si>
    <t>Turnover saving ($)</t>
  </si>
  <si>
    <t>PRN cost saving ($)</t>
  </si>
  <si>
    <t>Inspection saving ($)</t>
  </si>
  <si>
    <t>TOTAL BENEFIT ($)</t>
  </si>
  <si>
    <t>NET ANNUAL BENEFIT ($)</t>
  </si>
  <si>
    <t>ROI multiple</t>
  </si>
  <si>
    <t>Payback period (days)</t>
  </si>
  <si>
    <t>Remina KPI Impact Dashboard</t>
  </si>
  <si>
    <t>BEFORE REMINA  vs  AFTER REMINA (90-day pilot outcomes)</t>
  </si>
  <si>
    <t>KPI</t>
  </si>
  <si>
    <t>Before Remina</t>
  </si>
  <si>
    <t>After Remina (90 days)</t>
  </si>
  <si>
    <t>Improvement</t>
  </si>
  <si>
    <t>Source</t>
  </si>
  <si>
    <t>Length of Stay</t>
  </si>
  <si>
    <t>25.5 months</t>
  </si>
  <si>
    <t>+1.5 mo</t>
  </si>
  <si>
    <t>NPI peer-reviewed literature</t>
  </si>
  <si>
    <t>Antipsychotic Rate</t>
  </si>
  <si>
    <t>12.2%</t>
  </si>
  <si>
    <t>-24%</t>
  </si>
  <si>
    <t>Remina pilot data</t>
  </si>
  <si>
    <t>Occupancy Rate</t>
  </si>
  <si>
    <t>91%</t>
  </si>
  <si>
    <t>+3 pts</t>
  </si>
  <si>
    <t>Family referral / inspection uplift</t>
  </si>
  <si>
    <t>Caregiver Turnover</t>
  </si>
  <si>
    <t>8%/mo</t>
  </si>
  <si>
    <t>6.8%/mo</t>
  </si>
  <si>
    <t>-15%</t>
  </si>
  <si>
    <t>SHRM senior living HR benchmark</t>
  </si>
  <si>
    <t>PRN Events/Resident</t>
  </si>
  <si>
    <t>2.5/mo</t>
  </si>
  <si>
    <t>1.9/mo</t>
  </si>
  <si>
    <t>Monthly Revenue</t>
  </si>
  <si>
    <t>$308,000</t>
  </si>
  <si>
    <t>$318,500</t>
  </si>
  <si>
    <t>+$10,500/mo</t>
  </si>
  <si>
    <t>Calculated from occupancy model</t>
  </si>
  <si>
    <t>All assumptions are conservative and sourced from peer-reviewed NPI literature, Remina pilot data, and senior living industry HR benchmarks (SHRM). Actual results may exceed these projections.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</si>
</sst>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.0"/>
    <numFmt numFmtId="167" formatCode="0.0\x"/>
  </numFmts>
  <fonts count="35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i/>
      <sz val="10"/>
      <color rgb="FF1A9460"/>
      <name val="Arial"/>
      <charset val="1"/>
    </font>
    <font>
      <b/>
      <sz val="20"/>
      <color rgb="FF1A9460"/>
      <name val="Arial"/>
      <charset val="1"/>
    </font>
    <font>
      <b/>
      <sz val="20"/>
      <color rgb="FF633806"/>
      <name val="Arial"/>
      <charset val="1"/>
    </font>
    <font>
      <sz val="9"/>
      <color rgb="FF1A9460"/>
      <name val="Arial"/>
      <charset val="1"/>
    </font>
    <font>
      <sz val="9"/>
      <color rgb="FF633806"/>
      <name val="Arial"/>
      <charset val="1"/>
    </font>
    <font>
      <b/>
      <sz val="11"/>
      <color rgb="FFFFFFFF"/>
      <name val="Arial"/>
      <charset val="1"/>
    </font>
    <font>
      <sz val="10"/>
      <color rgb="FF444444"/>
      <name val="Arial"/>
      <charset val="1"/>
    </font>
    <font>
      <b/>
      <sz val="11"/>
      <color rgb="FF1C1C1C"/>
      <name val="Arial"/>
      <charset val="1"/>
    </font>
    <font>
      <sz val="9"/>
      <color rgb="FF888888"/>
      <name val="Arial"/>
      <charset val="1"/>
    </font>
    <font>
      <sz val="10"/>
      <color rgb="FF1C1C1C"/>
      <name val="Arial"/>
      <charset val="1"/>
    </font>
    <font>
      <i/>
      <sz val="8"/>
      <color rgb="FF888888"/>
      <name val="Arial"/>
      <charset val="1"/>
    </font>
    <font>
      <b/>
      <sz val="11"/>
      <color rgb="FF1A9460"/>
      <name val="Arial"/>
      <charset val="1"/>
    </font>
    <font>
      <b/>
      <sz val="12"/>
      <color rgb="FF1A9460"/>
      <name val="Arial"/>
      <charset val="1"/>
    </font>
    <font>
      <sz val="10"/>
      <color rgb="FFB71C1C"/>
      <name val="Arial"/>
      <charset val="1"/>
    </font>
    <font>
      <i/>
      <sz val="9"/>
      <color rgb="FFAAAAAA"/>
      <name val="Arial"/>
      <charset val="1"/>
    </font>
    <font>
      <b/>
      <sz val="14"/>
      <color rgb="FFFFFFFF"/>
      <name val="Arial"/>
      <charset val="1"/>
    </font>
    <font>
      <b/>
      <sz val="11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1C1C1C"/>
      <name val="Arial"/>
      <charset val="1"/>
    </font>
    <font>
      <b/>
      <sz val="11"/>
      <color rgb="FF000000"/>
      <name val="Arial"/>
      <charset val="1"/>
    </font>
    <font>
      <b/>
      <sz val="10"/>
      <color rgb="FF1A9460"/>
      <name val="Arial"/>
      <charset val="1"/>
    </font>
    <font>
      <b/>
      <sz val="10"/>
      <color rgb="FF444444"/>
      <name val="Arial"/>
      <charset val="1"/>
    </font>
    <font>
      <b/>
      <sz val="10"/>
      <color rgb="FFFFFFFF"/>
      <name val="Arial"/>
      <charset val="1"/>
    </font>
    <font>
      <sz val="10"/>
      <color rgb="FF1A9460"/>
      <name val="Arial"/>
      <charset val="1"/>
    </font>
    <font>
      <sz val="11"/>
      <color rgb="FF1A9460"/>
      <name val="Arial"/>
      <charset val="1"/>
    </font>
    <font>
      <b/>
      <sz val="10"/>
      <color rgb="FF555555"/>
      <name val="Arial"/>
      <charset val="1"/>
    </font>
    <font>
      <i/>
      <sz val="10"/>
      <color rgb="FF555555"/>
      <name val="Arial"/>
      <charset val="1"/>
    </font>
    <font>
      <sz val="10"/>
      <color rgb="FF633806"/>
      <name val="Arial"/>
      <charset val="1"/>
    </font>
    <font>
      <sz val="11"/>
      <color rgb="FF633806"/>
      <name val="Arial"/>
      <charset val="1"/>
    </font>
    <font>
      <sz val="10"/>
      <color rgb="FF880E4F"/>
      <name val="Arial"/>
      <charset val="1"/>
    </font>
    <font>
      <sz val="11"/>
      <color rgb="FF880E4F"/>
      <name val="Arial"/>
      <charset val="1"/>
    </font>
    <font>
      <i/>
      <sz val="9"/>
      <color rgb="FF888888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DBD7E"/>
        <bgColor rgb="FF1A9460"/>
      </patternFill>
    </fill>
    <fill>
      <patternFill patternType="solid">
        <fgColor rgb="FF1A9460"/>
        <bgColor rgb="FF008080"/>
      </patternFill>
    </fill>
    <fill>
      <patternFill patternType="solid">
        <fgColor rgb="FFE8F8F0"/>
        <bgColor rgb="FFF5F5F5"/>
      </patternFill>
    </fill>
    <fill>
      <patternFill patternType="solid">
        <fgColor rgb="FFFFF8E1"/>
        <bgColor rgb="FFFFFFF0"/>
      </patternFill>
    </fill>
    <fill>
      <patternFill patternType="solid">
        <fgColor rgb="FF1C1C1C"/>
        <bgColor rgb="FF003300"/>
      </patternFill>
    </fill>
    <fill>
      <patternFill patternType="solid">
        <fgColor rgb="FFF5F5F5"/>
        <bgColor rgb="FFE8F8F0"/>
      </patternFill>
    </fill>
    <fill>
      <patternFill patternType="solid">
        <fgColor rgb="FFFFFFFF"/>
        <bgColor rgb="FFFFFFF0"/>
      </patternFill>
    </fill>
    <fill>
      <patternFill patternType="solid">
        <fgColor rgb="FFFFFFF0"/>
        <bgColor rgb="FFFFFFFF"/>
      </patternFill>
    </fill>
    <fill>
      <patternFill patternType="solid">
        <fgColor rgb="FFFDE8F1"/>
        <b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2" fillId="8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7" borderId="2" xfId="0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164" fontId="20" fillId="8" borderId="2" xfId="0" applyNumberFormat="1" applyFont="1" applyFill="1" applyBorder="1" applyAlignment="1">
      <alignment horizontal="right" vertical="center"/>
    </xf>
    <xf numFmtId="166" fontId="20" fillId="8" borderId="2" xfId="0" applyNumberFormat="1" applyFont="1" applyFill="1" applyBorder="1" applyAlignment="1">
      <alignment horizontal="right" vertical="center"/>
    </xf>
    <xf numFmtId="165" fontId="20" fillId="8" borderId="2" xfId="0" applyNumberFormat="1" applyFont="1" applyFill="1" applyBorder="1" applyAlignment="1">
      <alignment horizontal="right" vertical="center"/>
    </xf>
    <xf numFmtId="1" fontId="20" fillId="8" borderId="2" xfId="0" applyNumberFormat="1" applyFont="1" applyFill="1" applyBorder="1" applyAlignment="1">
      <alignment horizontal="right" vertical="center"/>
    </xf>
    <xf numFmtId="0" fontId="21" fillId="7" borderId="2" xfId="0" applyFont="1" applyFill="1" applyBorder="1" applyAlignment="1">
      <alignment horizontal="left" vertical="center" wrapText="1"/>
    </xf>
    <xf numFmtId="164" fontId="22" fillId="7" borderId="2" xfId="0" applyNumberFormat="1" applyFont="1" applyFill="1" applyBorder="1" applyAlignment="1">
      <alignment horizontal="right" vertical="center"/>
    </xf>
    <xf numFmtId="0" fontId="23" fillId="4" borderId="2" xfId="0" applyFont="1" applyFill="1" applyBorder="1" applyAlignment="1">
      <alignment horizontal="left" vertical="center" wrapText="1"/>
    </xf>
    <xf numFmtId="164" fontId="22" fillId="4" borderId="2" xfId="0" applyNumberFormat="1" applyFont="1" applyFill="1" applyBorder="1" applyAlignment="1">
      <alignment horizontal="right" vertical="center"/>
    </xf>
    <xf numFmtId="167" fontId="22" fillId="7" borderId="2" xfId="0" applyNumberFormat="1" applyFont="1" applyFill="1" applyBorder="1" applyAlignment="1">
      <alignment horizontal="right" vertical="center"/>
    </xf>
    <xf numFmtId="1" fontId="22" fillId="7" borderId="2" xfId="0" applyNumberFormat="1" applyFont="1" applyFill="1" applyBorder="1" applyAlignment="1">
      <alignment horizontal="right" vertical="center"/>
    </xf>
    <xf numFmtId="0" fontId="25" fillId="3" borderId="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9" fillId="8" borderId="2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left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33" fillId="10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19" fillId="9" borderId="1" xfId="0" applyFont="1" applyFill="1" applyBorder="1" applyAlignment="1">
      <alignment horizontal="right" vertical="center"/>
    </xf>
    <xf numFmtId="164" fontId="19" fillId="9" borderId="1" xfId="0" applyNumberFormat="1" applyFont="1" applyFill="1" applyBorder="1" applyAlignment="1">
      <alignment horizontal="right" vertical="center"/>
    </xf>
    <xf numFmtId="165" fontId="19" fillId="9" borderId="1" xfId="0" applyNumberFormat="1" applyFont="1" applyFill="1" applyBorder="1" applyAlignment="1">
      <alignment horizontal="right" vertical="center"/>
    </xf>
    <xf numFmtId="166" fontId="19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 wrapText="1"/>
    </xf>
    <xf numFmtId="0" fontId="18" fillId="6" borderId="0" xfId="0" applyFont="1" applyFill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0" fillId="0" borderId="0" xfId="0" applyAlignment="1"/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8080"/>
      <rgbColor rgb="FFCCCCCC"/>
      <rgbColor rgb="FF888888"/>
      <rgbColor rgb="FF9999FF"/>
      <rgbColor rgb="FF633806"/>
      <rgbColor rgb="FFFFF8E1"/>
      <rgbColor rgb="FFE8F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DE8F1"/>
      <rgbColor rgb="FFFFFFF0"/>
      <rgbColor rgb="FF99CCFF"/>
      <rgbColor rgb="FFFF99CC"/>
      <rgbColor rgb="FFCC99FF"/>
      <rgbColor rgb="FFFFCC99"/>
      <rgbColor rgb="FF3366FF"/>
      <rgbColor rgb="FF2DBD7E"/>
      <rgbColor rgb="FF99CC00"/>
      <rgbColor rgb="FFFFCC00"/>
      <rgbColor rgb="FFFF9900"/>
      <rgbColor rgb="FFFF6600"/>
      <rgbColor rgb="FF555555"/>
      <rgbColor rgb="FFAAAAAA"/>
      <rgbColor rgb="FF003366"/>
      <rgbColor rgb="FF1A9460"/>
      <rgbColor rgb="FF003300"/>
      <rgbColor rgb="FF1C1C1C"/>
      <rgbColor rgb="FFB71C1C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9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32" customWidth="1"/>
    <col min="3" max="5" width="22" customWidth="1"/>
    <col min="6" max="6" width="4" customWidth="1"/>
  </cols>
  <sheetData>
    <row r="1" spans="2:5" ht="9.75" customHeight="1">
      <c r="B1" s="63"/>
      <c r="C1" s="63"/>
      <c r="D1" s="63"/>
      <c r="E1" s="63"/>
    </row>
    <row r="2" spans="2:5" ht="36" customHeight="1">
      <c r="B2" s="12" t="s">
        <v>0</v>
      </c>
      <c r="C2" s="12"/>
      <c r="D2" s="12"/>
      <c r="E2" s="12"/>
    </row>
    <row r="3" spans="2:5" ht="21.75" customHeight="1">
      <c r="B3" s="11" t="s">
        <v>1</v>
      </c>
      <c r="C3" s="11"/>
      <c r="D3" s="11"/>
      <c r="E3" s="11"/>
    </row>
    <row r="4" spans="2:5" ht="7.5" customHeight="1">
      <c r="B4" s="64"/>
      <c r="C4" s="64"/>
      <c r="D4" s="64"/>
      <c r="E4" s="64"/>
    </row>
    <row r="5" spans="2:5" ht="19.5" customHeight="1">
      <c r="B5" s="10" t="s">
        <v>2</v>
      </c>
      <c r="C5" s="10"/>
      <c r="D5" s="10"/>
      <c r="E5" s="10"/>
    </row>
    <row r="6" spans="2:5" ht="7.5" customHeight="1"/>
    <row r="7" spans="2:5" ht="31.5" customHeight="1">
      <c r="B7" s="9" t="s">
        <v>3</v>
      </c>
      <c r="C7" s="9"/>
      <c r="D7" s="8" t="s">
        <v>4</v>
      </c>
      <c r="E7" s="8"/>
    </row>
    <row r="8" spans="2:5" ht="18" customHeight="1">
      <c r="B8" s="9"/>
      <c r="C8" s="9"/>
      <c r="D8" s="8"/>
      <c r="E8" s="8"/>
    </row>
    <row r="9" spans="2:5" ht="12" customHeight="1">
      <c r="B9" s="7" t="s">
        <v>5</v>
      </c>
      <c r="C9" s="7"/>
      <c r="D9" s="6" t="s">
        <v>6</v>
      </c>
      <c r="E9" s="6"/>
    </row>
    <row r="10" spans="2:5" ht="18" customHeight="1"/>
    <row r="11" spans="2:5" ht="24" customHeight="1">
      <c r="B11" s="5" t="s">
        <v>7</v>
      </c>
      <c r="C11" s="5"/>
      <c r="D11" s="5"/>
      <c r="E11" s="5"/>
    </row>
    <row r="12" spans="2:5" ht="19.5" customHeight="1">
      <c r="B12" s="4" t="s">
        <v>8</v>
      </c>
      <c r="C12" s="4"/>
      <c r="D12" s="13" t="s">
        <v>9</v>
      </c>
      <c r="E12" s="14" t="s">
        <v>10</v>
      </c>
    </row>
    <row r="13" spans="2:5" ht="19.5" customHeight="1">
      <c r="B13" s="3" t="s">
        <v>11</v>
      </c>
      <c r="C13" s="3"/>
      <c r="D13" s="15" t="s">
        <v>12</v>
      </c>
      <c r="E13" s="16" t="s">
        <v>13</v>
      </c>
    </row>
    <row r="14" spans="2:5" ht="19.5" customHeight="1">
      <c r="B14" s="4" t="s">
        <v>14</v>
      </c>
      <c r="C14" s="4"/>
      <c r="D14" s="13" t="s">
        <v>15</v>
      </c>
      <c r="E14" s="14"/>
    </row>
    <row r="15" spans="2:5" ht="19.5" customHeight="1">
      <c r="B15" s="3" t="s">
        <v>16</v>
      </c>
      <c r="C15" s="3"/>
      <c r="D15" s="15" t="s">
        <v>17</v>
      </c>
      <c r="E15" s="16"/>
    </row>
    <row r="16" spans="2:5" ht="19.5" customHeight="1">
      <c r="B16" s="4" t="s">
        <v>18</v>
      </c>
      <c r="C16" s="4"/>
      <c r="D16" s="13" t="s">
        <v>19</v>
      </c>
      <c r="E16" s="14"/>
    </row>
    <row r="17" spans="2:5" ht="19.5" customHeight="1">
      <c r="B17" s="3" t="s">
        <v>20</v>
      </c>
      <c r="C17" s="3"/>
      <c r="D17" s="15" t="s">
        <v>21</v>
      </c>
      <c r="E17" s="16"/>
    </row>
    <row r="18" spans="2:5" ht="9.75" customHeight="1"/>
    <row r="19" spans="2:5" ht="24" customHeight="1">
      <c r="B19" s="2" t="s">
        <v>22</v>
      </c>
      <c r="C19" s="2"/>
      <c r="D19" s="2"/>
      <c r="E19" s="2"/>
    </row>
    <row r="20" spans="2:5" ht="18" customHeight="1">
      <c r="B20" s="1" t="s">
        <v>23</v>
      </c>
      <c r="C20" s="1"/>
      <c r="D20" s="17" t="s">
        <v>24</v>
      </c>
      <c r="E20" s="18" t="s">
        <v>25</v>
      </c>
    </row>
    <row r="21" spans="2:5" ht="18" customHeight="1">
      <c r="B21" s="1" t="s">
        <v>26</v>
      </c>
      <c r="C21" s="1"/>
      <c r="D21" s="17" t="s">
        <v>27</v>
      </c>
      <c r="E21" s="18" t="s">
        <v>28</v>
      </c>
    </row>
    <row r="22" spans="2:5" ht="18" customHeight="1">
      <c r="B22" s="1" t="s">
        <v>29</v>
      </c>
      <c r="C22" s="1"/>
      <c r="D22" s="17" t="s">
        <v>30</v>
      </c>
      <c r="E22" s="18" t="s">
        <v>31</v>
      </c>
    </row>
    <row r="23" spans="2:5" ht="18" customHeight="1">
      <c r="B23" s="1" t="s">
        <v>32</v>
      </c>
      <c r="C23" s="1"/>
      <c r="D23" s="17" t="s">
        <v>33</v>
      </c>
      <c r="E23" s="18" t="s">
        <v>34</v>
      </c>
    </row>
    <row r="24" spans="2:5" ht="18" customHeight="1">
      <c r="B24" s="1" t="s">
        <v>35</v>
      </c>
      <c r="C24" s="1"/>
      <c r="D24" s="17" t="s">
        <v>36</v>
      </c>
      <c r="E24" s="18" t="s">
        <v>37</v>
      </c>
    </row>
    <row r="25" spans="2:5" ht="21.75" customHeight="1">
      <c r="B25" s="48" t="s">
        <v>38</v>
      </c>
      <c r="C25" s="48"/>
      <c r="D25" s="19" t="s">
        <v>39</v>
      </c>
      <c r="E25" s="20"/>
    </row>
    <row r="26" spans="2:5" ht="18" customHeight="1">
      <c r="B26" s="1" t="s">
        <v>40</v>
      </c>
      <c r="C26" s="1"/>
      <c r="D26" s="21" t="s">
        <v>41</v>
      </c>
      <c r="E26" s="18" t="s">
        <v>42</v>
      </c>
    </row>
    <row r="27" spans="2:5" ht="21.75" customHeight="1">
      <c r="B27" s="49" t="s">
        <v>43</v>
      </c>
      <c r="C27" s="49"/>
      <c r="D27" s="22" t="s">
        <v>4</v>
      </c>
      <c r="E27" s="23"/>
    </row>
    <row r="28" spans="2:5" ht="18" customHeight="1"/>
    <row r="29" spans="2:5" ht="27.75" customHeight="1">
      <c r="B29" s="50" t="s">
        <v>44</v>
      </c>
      <c r="C29" s="50"/>
      <c r="D29" s="50"/>
      <c r="E29" s="50"/>
    </row>
    <row r="30" spans="2:5" ht="19.5" customHeight="1">
      <c r="B30" s="51" t="s">
        <v>45</v>
      </c>
      <c r="C30" s="51"/>
      <c r="D30" s="51"/>
      <c r="E30" s="51"/>
    </row>
    <row r="31" spans="2:5" ht="18" customHeight="1"/>
    <row r="32" spans="2:5" ht="18" customHeight="1">
      <c r="B32" s="52" t="s">
        <v>46</v>
      </c>
      <c r="C32" s="52"/>
      <c r="D32" s="52"/>
      <c r="E32" s="52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8">
    <mergeCell ref="B29:E29"/>
    <mergeCell ref="B30:E30"/>
    <mergeCell ref="B32:E32"/>
    <mergeCell ref="B23:C23"/>
    <mergeCell ref="B24:C24"/>
    <mergeCell ref="B25:C25"/>
    <mergeCell ref="B26:C26"/>
    <mergeCell ref="B27:C27"/>
    <mergeCell ref="B17:C17"/>
    <mergeCell ref="B19:E19"/>
    <mergeCell ref="B20:C20"/>
    <mergeCell ref="B21:C21"/>
    <mergeCell ref="B22:C22"/>
    <mergeCell ref="B12:C12"/>
    <mergeCell ref="B13:C13"/>
    <mergeCell ref="B14:C14"/>
    <mergeCell ref="B15:C15"/>
    <mergeCell ref="B16:C16"/>
    <mergeCell ref="B7:C8"/>
    <mergeCell ref="D7:E8"/>
    <mergeCell ref="B9:C9"/>
    <mergeCell ref="D9:E9"/>
    <mergeCell ref="B11:E11"/>
    <mergeCell ref="B1:E1"/>
    <mergeCell ref="B2:E2"/>
    <mergeCell ref="B3:E3"/>
    <mergeCell ref="B4:E4"/>
    <mergeCell ref="B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6"/>
  <sheetViews>
    <sheetView showGridLines="0" zoomScaleNormal="100" workbookViewId="0"/>
  </sheetViews>
  <sheetFormatPr defaultColWidth="8.7109375" defaultRowHeight="15"/>
  <cols>
    <col min="1" max="1" width="3" customWidth="1"/>
    <col min="2" max="2" width="36" customWidth="1"/>
    <col min="3" max="6" width="18" customWidth="1"/>
    <col min="7" max="7" width="4" customWidth="1"/>
  </cols>
  <sheetData>
    <row r="1" spans="2:6" ht="30" customHeight="1">
      <c r="B1" s="53" t="s">
        <v>47</v>
      </c>
      <c r="C1" s="53"/>
      <c r="D1" s="53"/>
      <c r="E1" s="53"/>
      <c r="F1" s="53"/>
    </row>
    <row r="3" spans="2:6" ht="21.75" customHeight="1">
      <c r="B3" s="54" t="s">
        <v>48</v>
      </c>
      <c r="C3" s="54"/>
      <c r="D3" s="54"/>
      <c r="E3" s="54"/>
      <c r="F3" s="54"/>
    </row>
    <row r="4" spans="2:6" ht="19.5" customHeight="1">
      <c r="B4" s="24" t="s">
        <v>49</v>
      </c>
      <c r="C4" s="55">
        <v>50</v>
      </c>
      <c r="D4" s="55"/>
    </row>
    <row r="5" spans="2:6" ht="19.5" customHeight="1">
      <c r="B5" s="24" t="s">
        <v>50</v>
      </c>
      <c r="C5" s="56">
        <v>7000</v>
      </c>
      <c r="D5" s="56"/>
    </row>
    <row r="6" spans="2:6" ht="19.5" customHeight="1">
      <c r="B6" s="24" t="s">
        <v>51</v>
      </c>
      <c r="C6" s="57">
        <v>0.88</v>
      </c>
      <c r="D6" s="57"/>
    </row>
    <row r="7" spans="2:6" ht="19.5" customHeight="1">
      <c r="B7" s="24" t="s">
        <v>52</v>
      </c>
      <c r="C7" s="58">
        <v>24</v>
      </c>
      <c r="D7" s="58"/>
    </row>
    <row r="8" spans="2:6" ht="19.5" customHeight="1">
      <c r="B8" s="24" t="s">
        <v>53</v>
      </c>
      <c r="C8" s="57">
        <v>0.16</v>
      </c>
      <c r="D8" s="57"/>
    </row>
    <row r="9" spans="2:6" ht="19.5" customHeight="1">
      <c r="B9" s="24" t="s">
        <v>54</v>
      </c>
      <c r="C9" s="57">
        <v>0.08</v>
      </c>
      <c r="D9" s="57"/>
    </row>
    <row r="10" spans="2:6" ht="9.75" customHeight="1"/>
    <row r="11" spans="2:6" ht="21.75" customHeight="1">
      <c r="B11" s="59" t="s">
        <v>55</v>
      </c>
      <c r="C11" s="59"/>
      <c r="D11" s="59"/>
      <c r="E11" s="59"/>
      <c r="F11" s="59"/>
    </row>
    <row r="12" spans="2:6" ht="18" customHeight="1">
      <c r="B12" s="25" t="s">
        <v>56</v>
      </c>
      <c r="C12" s="26">
        <f>C4*100</f>
        <v>5000</v>
      </c>
    </row>
    <row r="13" spans="2:6" ht="18" customHeight="1">
      <c r="B13" s="25" t="s">
        <v>57</v>
      </c>
      <c r="C13" s="26">
        <f>C4*100*12</f>
        <v>60000</v>
      </c>
    </row>
    <row r="14" spans="2:6" ht="18" customHeight="1">
      <c r="B14" s="25" t="s">
        <v>58</v>
      </c>
      <c r="C14" s="27">
        <f>C4/C7*12</f>
        <v>25</v>
      </c>
    </row>
    <row r="15" spans="2:6" ht="18" customHeight="1">
      <c r="B15" s="25" t="s">
        <v>59</v>
      </c>
      <c r="C15" s="26">
        <f>(C4/C7*12)*1.5*C5</f>
        <v>262500</v>
      </c>
    </row>
    <row r="16" spans="2:6" ht="18" customHeight="1">
      <c r="B16" s="25" t="s">
        <v>60</v>
      </c>
      <c r="C16" s="28">
        <f>MIN(0.98-C6,0.03)</f>
        <v>0.03</v>
      </c>
    </row>
    <row r="17" spans="2:3" ht="18" customHeight="1">
      <c r="B17" s="25" t="s">
        <v>61</v>
      </c>
      <c r="C17" s="26">
        <f>MIN(0.98-C6,0.03)*C4*C5*12</f>
        <v>126000</v>
      </c>
    </row>
    <row r="18" spans="2:3" ht="18" customHeight="1">
      <c r="B18" s="25" t="s">
        <v>62</v>
      </c>
      <c r="C18" s="29">
        <f>ROUND(C4*0.4,0)</f>
        <v>20</v>
      </c>
    </row>
    <row r="19" spans="2:3" ht="18" customHeight="1">
      <c r="B19" s="25" t="s">
        <v>63</v>
      </c>
      <c r="C19" s="27">
        <f>ROUND(C4*0.4,0)*C9*12</f>
        <v>19.2</v>
      </c>
    </row>
    <row r="20" spans="2:3" ht="18" customHeight="1">
      <c r="B20" s="25" t="s">
        <v>64</v>
      </c>
      <c r="C20" s="26">
        <f>ROUND(C4*0.4,0)*C9*12*0.15*3500</f>
        <v>10080</v>
      </c>
    </row>
    <row r="21" spans="2:3" ht="18" customHeight="1">
      <c r="B21" s="25" t="s">
        <v>65</v>
      </c>
      <c r="C21" s="26">
        <f>C4*2.5*85*0.24*12</f>
        <v>30600</v>
      </c>
    </row>
    <row r="22" spans="2:3" ht="18" customHeight="1">
      <c r="B22" s="25" t="s">
        <v>66</v>
      </c>
      <c r="C22" s="26">
        <f>5000</f>
        <v>5000</v>
      </c>
    </row>
    <row r="23" spans="2:3" ht="19.5" customHeight="1">
      <c r="B23" s="30" t="s">
        <v>67</v>
      </c>
      <c r="C23" s="31">
        <f>C14+C16+C19+C20+C21</f>
        <v>40724.230000000003</v>
      </c>
    </row>
    <row r="24" spans="2:3" ht="19.5" customHeight="1">
      <c r="B24" s="32" t="s">
        <v>68</v>
      </c>
      <c r="C24" s="33">
        <f>C22-C13</f>
        <v>-55000</v>
      </c>
    </row>
    <row r="25" spans="2:3" ht="19.5" customHeight="1">
      <c r="B25" s="30" t="s">
        <v>69</v>
      </c>
      <c r="C25" s="34">
        <f>C22/C13</f>
        <v>8.3333333333333301E-2</v>
      </c>
    </row>
    <row r="26" spans="2:3" ht="19.5" customHeight="1">
      <c r="B26" s="30" t="s">
        <v>70</v>
      </c>
      <c r="C26" s="35">
        <f>ROUND(C13/C22*365,0)</f>
        <v>4380</v>
      </c>
    </row>
  </sheetData>
  <mergeCells count="9">
    <mergeCell ref="C7:D7"/>
    <mergeCell ref="C8:D8"/>
    <mergeCell ref="C9:D9"/>
    <mergeCell ref="B11:F11"/>
    <mergeCell ref="B1:F1"/>
    <mergeCell ref="B3:F3"/>
    <mergeCell ref="C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3"/>
  <sheetViews>
    <sheetView showGridLines="0" zoomScaleNormal="100" workbookViewId="0"/>
  </sheetViews>
  <sheetFormatPr defaultColWidth="8.7109375" defaultRowHeight="15"/>
  <cols>
    <col min="1" max="1" width="3" customWidth="1"/>
    <col min="2" max="2" width="28" customWidth="1"/>
    <col min="3" max="6" width="22" customWidth="1"/>
    <col min="7" max="7" width="4" customWidth="1"/>
  </cols>
  <sheetData>
    <row r="1" spans="2:6" ht="30" customHeight="1">
      <c r="B1" s="60" t="s">
        <v>71</v>
      </c>
      <c r="C1" s="60"/>
      <c r="D1" s="60"/>
      <c r="E1" s="60"/>
      <c r="F1" s="60"/>
    </row>
    <row r="2" spans="2:6" ht="7.5" customHeight="1"/>
    <row r="3" spans="2:6" ht="19.5" customHeight="1">
      <c r="B3" s="61" t="s">
        <v>72</v>
      </c>
      <c r="C3" s="61"/>
      <c r="D3" s="61"/>
      <c r="E3" s="61"/>
      <c r="F3" s="61"/>
    </row>
    <row r="4" spans="2:6" ht="21.75" customHeight="1">
      <c r="B4" s="36" t="s">
        <v>73</v>
      </c>
      <c r="C4" s="36" t="s">
        <v>74</v>
      </c>
      <c r="D4" s="36" t="s">
        <v>75</v>
      </c>
      <c r="E4" s="36" t="s">
        <v>76</v>
      </c>
      <c r="F4" s="36" t="s">
        <v>77</v>
      </c>
    </row>
    <row r="5" spans="2:6" ht="21.75" customHeight="1">
      <c r="B5" s="37" t="s">
        <v>78</v>
      </c>
      <c r="C5" s="38" t="s">
        <v>17</v>
      </c>
      <c r="D5" s="39" t="s">
        <v>79</v>
      </c>
      <c r="E5" s="40" t="s">
        <v>80</v>
      </c>
      <c r="F5" s="41" t="s">
        <v>81</v>
      </c>
    </row>
    <row r="6" spans="2:6" ht="21.75" customHeight="1">
      <c r="B6" s="42" t="s">
        <v>82</v>
      </c>
      <c r="C6" s="43" t="s">
        <v>19</v>
      </c>
      <c r="D6" s="44" t="s">
        <v>83</v>
      </c>
      <c r="E6" s="40" t="s">
        <v>84</v>
      </c>
      <c r="F6" s="41" t="s">
        <v>85</v>
      </c>
    </row>
    <row r="7" spans="2:6" ht="21.75" customHeight="1">
      <c r="B7" s="37" t="s">
        <v>86</v>
      </c>
      <c r="C7" s="38" t="s">
        <v>15</v>
      </c>
      <c r="D7" s="39" t="s">
        <v>87</v>
      </c>
      <c r="E7" s="40" t="s">
        <v>88</v>
      </c>
      <c r="F7" s="41" t="s">
        <v>89</v>
      </c>
    </row>
    <row r="8" spans="2:6" ht="21.75" customHeight="1">
      <c r="B8" s="45" t="s">
        <v>90</v>
      </c>
      <c r="C8" s="46" t="s">
        <v>91</v>
      </c>
      <c r="D8" s="47" t="s">
        <v>92</v>
      </c>
      <c r="E8" s="40" t="s">
        <v>93</v>
      </c>
      <c r="F8" s="41" t="s">
        <v>94</v>
      </c>
    </row>
    <row r="9" spans="2:6" ht="21.75" customHeight="1">
      <c r="B9" s="42" t="s">
        <v>95</v>
      </c>
      <c r="C9" s="43" t="s">
        <v>96</v>
      </c>
      <c r="D9" s="44" t="s">
        <v>97</v>
      </c>
      <c r="E9" s="40" t="s">
        <v>84</v>
      </c>
      <c r="F9" s="41" t="s">
        <v>85</v>
      </c>
    </row>
    <row r="10" spans="2:6" ht="21.75" customHeight="1">
      <c r="B10" s="37" t="s">
        <v>98</v>
      </c>
      <c r="C10" s="38" t="s">
        <v>99</v>
      </c>
      <c r="D10" s="39" t="s">
        <v>100</v>
      </c>
      <c r="E10" s="40" t="s">
        <v>101</v>
      </c>
      <c r="F10" s="41" t="s">
        <v>102</v>
      </c>
    </row>
    <row r="13" spans="2:6" ht="31.5" customHeight="1">
      <c r="B13" s="62" t="s">
        <v>103</v>
      </c>
      <c r="C13" s="62"/>
      <c r="D13" s="62"/>
      <c r="E13" s="62"/>
      <c r="F13" s="62"/>
    </row>
  </sheetData>
  <mergeCells count="3">
    <mergeCell ref="B1:F1"/>
    <mergeCell ref="B3:F3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2026-03-25T17:36:33Z</dcterms:created>
  <dcterms:modified xsi:type="dcterms:W3CDTF">2026-03-26T06:30:43Z</dcterms:modified>
  <cp:category/>
  <cp:contentStatus/>
</cp:coreProperties>
</file>